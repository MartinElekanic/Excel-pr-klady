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49" documentId="11_92486175C7C99423EA099E19863E8C1851038387" xr6:coauthVersionLast="47" xr6:coauthVersionMax="47" xr10:uidLastSave="{EBD16559-0656-4795-965B-368D49472849}"/>
  <bookViews>
    <workbookView xWindow="240" yWindow="105" windowWidth="14805" windowHeight="8010" activeTab="1" xr2:uid="{00000000-000D-0000-FFFF-FFFF00000000}"/>
  </bookViews>
  <sheets>
    <sheet name="Tabuľky" sheetId="1" r:id="rId1"/>
    <sheet name="Graf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I9" i="1"/>
</calcChain>
</file>

<file path=xl/sharedStrings.xml><?xml version="1.0" encoding="utf-8"?>
<sst xmlns="http://schemas.openxmlformats.org/spreadsheetml/2006/main" count="43" uniqueCount="38">
  <si>
    <t>účet</t>
  </si>
  <si>
    <t>Položka</t>
  </si>
  <si>
    <t>Suma (€)</t>
  </si>
  <si>
    <t>Poznámka</t>
  </si>
  <si>
    <t>Účet2</t>
  </si>
  <si>
    <t>Položka2</t>
  </si>
  <si>
    <t>Suma (€)2</t>
  </si>
  <si>
    <t>Výnosy(Tržby z predaja služby)</t>
  </si>
  <si>
    <t>Mzdy</t>
  </si>
  <si>
    <t>Marketing</t>
  </si>
  <si>
    <t>Prenájom kancelárie</t>
  </si>
  <si>
    <t>Ostatné náklady</t>
  </si>
  <si>
    <t>Softvér</t>
  </si>
  <si>
    <t>Vývoj vlastnej aplikácie</t>
  </si>
  <si>
    <t>Bankový účet</t>
  </si>
  <si>
    <t>Notebooky a technika</t>
  </si>
  <si>
    <t>Pre vývojárov</t>
  </si>
  <si>
    <t>Pokladnica</t>
  </si>
  <si>
    <t>Obstaranie majetku</t>
  </si>
  <si>
    <t>Prebieha nákup servera</t>
  </si>
  <si>
    <t>Pohľadávky za zákazníkmi</t>
  </si>
  <si>
    <t>Tovar / materiál</t>
  </si>
  <si>
    <t>Pasíva</t>
  </si>
  <si>
    <t>Účet</t>
  </si>
  <si>
    <t>Pasíva spolu</t>
  </si>
  <si>
    <t>Spolu2</t>
  </si>
  <si>
    <t>Aktíva celkovo</t>
  </si>
  <si>
    <t>Základné imanie</t>
  </si>
  <si>
    <t>Dodávatelia</t>
  </si>
  <si>
    <t>Emisné ážio / vklady founderov</t>
  </si>
  <si>
    <t>Záväzky voči zamestnancom</t>
  </si>
  <si>
    <t>Spolu</t>
  </si>
  <si>
    <t>Výsledok hospodárenia (strata)</t>
  </si>
  <si>
    <t>–12 000</t>
  </si>
  <si>
    <t>Sociálne a zdravotné odvody</t>
  </si>
  <si>
    <t>Ostatné záväzky</t>
  </si>
  <si>
    <t>Bankový úver</t>
  </si>
  <si>
    <t>Rozdiel je -12000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</si>
</sst>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0" fillId="3" borderId="1" xfId="0" applyFont="1" applyFill="1" applyBorder="1"/>
    <xf numFmtId="0" fontId="4" fillId="2" borderId="2" xfId="0" applyFont="1" applyFill="1" applyBorder="1"/>
    <xf numFmtId="3" fontId="0" fillId="3" borderId="2" xfId="0" applyNumberFormat="1" applyFont="1" applyFill="1" applyBorder="1"/>
    <xf numFmtId="3" fontId="0" fillId="3" borderId="1" xfId="0" applyNumberFormat="1" applyFont="1" applyFill="1" applyBorder="1"/>
  </cellXfs>
  <cellStyles count="1">
    <cellStyle name="Normálna" xfId="0" builtinId="0"/>
  </cellStyles>
  <dxfs count="4"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 základných aktív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Tabuľky!$G$1</c:f>
              <c:strCache>
                <c:ptCount val="1"/>
                <c:pt idx="0">
                  <c:v>Suma (€)2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Tabuľky!$A$2:$F$5</c:f>
              <c:multiLvlStrCache>
                <c:ptCount val="4"/>
                <c:lvl>
                  <c:pt idx="0">
                    <c:v>Bankový účet</c:v>
                  </c:pt>
                  <c:pt idx="1">
                    <c:v>Pokladnica</c:v>
                  </c:pt>
                  <c:pt idx="2">
                    <c:v>Pohľadávky za zákazníkmi</c:v>
                  </c:pt>
                  <c:pt idx="3">
                    <c:v>Tovar / materiál</c:v>
                  </c:pt>
                </c:lvl>
                <c:lvl>
                  <c:pt idx="0">
                    <c:v>221</c:v>
                  </c:pt>
                  <c:pt idx="1">
                    <c:v>211</c:v>
                  </c:pt>
                  <c:pt idx="2">
                    <c:v>311</c:v>
                  </c:pt>
                  <c:pt idx="3">
                    <c:v>132</c:v>
                  </c:pt>
                </c:lvl>
                <c:lvl>
                  <c:pt idx="0">
                    <c:v>Vývoj vlastnej aplikácie</c:v>
                  </c:pt>
                  <c:pt idx="1">
                    <c:v>Pre vývojárov</c:v>
                  </c:pt>
                  <c:pt idx="2">
                    <c:v>Prebieha nákup servera</c:v>
                  </c:pt>
                </c:lvl>
                <c:lvl>
                  <c:pt idx="0">
                    <c:v>12 000</c:v>
                  </c:pt>
                  <c:pt idx="1">
                    <c:v>8 000</c:v>
                  </c:pt>
                  <c:pt idx="2">
                    <c:v>3 000</c:v>
                  </c:pt>
                </c:lvl>
                <c:lvl>
                  <c:pt idx="0">
                    <c:v>Softvér</c:v>
                  </c:pt>
                  <c:pt idx="1">
                    <c:v>Notebooky a technika</c:v>
                  </c:pt>
                  <c:pt idx="2">
                    <c:v>Obstaranie majetku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41</c:v>
                  </c:pt>
                </c:lvl>
              </c:multiLvlStrCache>
            </c:multiLvlStrRef>
          </c:cat>
          <c:val>
            <c:numRef>
              <c:f>Tabuľky!$G$2:$G$5</c:f>
              <c:numCache>
                <c:formatCode>#,##0</c:formatCode>
                <c:ptCount val="4"/>
                <c:pt idx="0">
                  <c:v>14500</c:v>
                </c:pt>
                <c:pt idx="1">
                  <c:v>300</c:v>
                </c:pt>
                <c:pt idx="2">
                  <c:v>4200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B-4B34-9AA7-2DA9A55C5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868232"/>
        <c:axId val="239283207"/>
      </c:barChart>
      <c:catAx>
        <c:axId val="137886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83207"/>
        <c:crosses val="autoZero"/>
        <c:auto val="1"/>
        <c:lblAlgn val="ctr"/>
        <c:lblOffset val="100"/>
        <c:noMultiLvlLbl val="0"/>
      </c:catAx>
      <c:valAx>
        <c:axId val="23928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6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Aktíva celkovo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482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Spolu Druhé položky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Tabuľky!$I$9:$I$11</c:f>
              <c:numCache>
                <c:formatCode>General</c:formatCode>
                <c:ptCount val="3"/>
                <c:pt idx="0" formatCode="#,##0">
                  <c:v>20000</c:v>
                </c:pt>
                <c:pt idx="1">
                  <c:v>0</c:v>
                </c:pt>
                <c:pt idx="2" formatCode="#,##0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0-4579-91EC-0AE2B334590B}"/>
            </c:ext>
          </c:extLst>
        </c:ser>
        <c:ser>
          <c:idx val="1"/>
          <c:order val="1"/>
          <c:tx>
            <c:strRef>
              <c:f>Tabuľky!$J$8</c:f>
              <c:strCache>
                <c:ptCount val="1"/>
                <c:pt idx="0">
                  <c:v>Aktíva celkovo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Tabuľky!$J$9:$J$11</c:f>
              <c:numCache>
                <c:formatCode>General</c:formatCode>
                <c:ptCount val="3"/>
                <c:pt idx="0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0-4579-91EC-0AE2B3345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886856"/>
        <c:axId val="1276402184"/>
      </c:barChart>
      <c:catAx>
        <c:axId val="863886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02184"/>
        <c:crosses val="autoZero"/>
        <c:auto val="1"/>
        <c:lblAlgn val="ctr"/>
        <c:lblOffset val="100"/>
        <c:noMultiLvlLbl val="0"/>
      </c:catAx>
      <c:valAx>
        <c:axId val="1276402184"/>
        <c:scaling>
          <c:orientation val="minMax"/>
          <c:max val="4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8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 základných pasív startupu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Tabuľky!$F$8</c:f>
              <c:strCache>
                <c:ptCount val="1"/>
                <c:pt idx="0">
                  <c:v>Suma (€)2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Tabuľky!$A$9:$E$13</c:f>
              <c:multiLvlStrCache>
                <c:ptCount val="5"/>
                <c:lvl>
                  <c:pt idx="0">
                    <c:v>Dodávatelia</c:v>
                  </c:pt>
                  <c:pt idx="1">
                    <c:v>Záväzky voči zamestnancom</c:v>
                  </c:pt>
                  <c:pt idx="2">
                    <c:v>Sociálne a zdravotné odvody</c:v>
                  </c:pt>
                  <c:pt idx="3">
                    <c:v>Ostatné záväzky</c:v>
                  </c:pt>
                  <c:pt idx="4">
                    <c:v>Bankový úver</c:v>
                  </c:pt>
                </c:lvl>
                <c:lvl>
                  <c:pt idx="0">
                    <c:v>321</c:v>
                  </c:pt>
                  <c:pt idx="1">
                    <c:v>331</c:v>
                  </c:pt>
                  <c:pt idx="2">
                    <c:v>336</c:v>
                  </c:pt>
                  <c:pt idx="3">
                    <c:v>379</c:v>
                  </c:pt>
                  <c:pt idx="4">
                    <c:v>461</c:v>
                  </c:pt>
                </c:lvl>
                <c:lvl>
                  <c:pt idx="0">
                    <c:v>5 000</c:v>
                  </c:pt>
                  <c:pt idx="1">
                    <c:v>20 000</c:v>
                  </c:pt>
                  <c:pt idx="2">
                    <c:v>–12 000</c:v>
                  </c:pt>
                </c:lvl>
                <c:lvl>
                  <c:pt idx="0">
                    <c:v>Základné imanie</c:v>
                  </c:pt>
                  <c:pt idx="1">
                    <c:v>Emisné ážio / vklady founderov</c:v>
                  </c:pt>
                  <c:pt idx="2">
                    <c:v>Výsledok hospodárenia (strata)</c:v>
                  </c:pt>
                </c:lvl>
                <c:lvl>
                  <c:pt idx="0">
                    <c:v>411</c:v>
                  </c:pt>
                  <c:pt idx="1">
                    <c:v>413</c:v>
                  </c:pt>
                  <c:pt idx="2">
                    <c:v>431</c:v>
                  </c:pt>
                </c:lvl>
              </c:multiLvlStrCache>
            </c:multiLvlStrRef>
          </c:cat>
          <c:val>
            <c:numRef>
              <c:f>Tabuľky!$F$9:$F$13</c:f>
              <c:numCache>
                <c:formatCode>#,##0</c:formatCode>
                <c:ptCount val="5"/>
                <c:pt idx="0">
                  <c:v>6500</c:v>
                </c:pt>
                <c:pt idx="1">
                  <c:v>4000</c:v>
                </c:pt>
                <c:pt idx="2">
                  <c:v>2500</c:v>
                </c:pt>
                <c:pt idx="3">
                  <c:v>1000</c:v>
                </c:pt>
                <c:pt idx="4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B-4507-8F8C-CDBDEC45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848456"/>
        <c:axId val="1276399624"/>
      </c:barChart>
      <c:catAx>
        <c:axId val="86384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99624"/>
        <c:crosses val="autoZero"/>
        <c:auto val="1"/>
        <c:lblAlgn val="ctr"/>
        <c:lblOffset val="100"/>
        <c:noMultiLvlLbl val="0"/>
      </c:catAx>
      <c:valAx>
        <c:axId val="127639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4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Výnosy a náklady startupu bližšie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1-4771-8C20-652DFE189C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1-4771-8C20-652DFE189C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01-4771-8C20-652DFE189C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01-4771-8C20-652DFE189C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01-4771-8C20-652DFE189CD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101-4771-8C20-652DFE189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Tabuľky!$I$1:$M$1</c:f>
              <c:strCache>
                <c:ptCount val="5"/>
                <c:pt idx="0">
                  <c:v>Výnosy(Tržby z predaja služby)</c:v>
                </c:pt>
                <c:pt idx="1">
                  <c:v>Mzdy</c:v>
                </c:pt>
                <c:pt idx="2">
                  <c:v>Marketing</c:v>
                </c:pt>
                <c:pt idx="3">
                  <c:v>Prenájom kancelárie</c:v>
                </c:pt>
                <c:pt idx="4">
                  <c:v>Ostatné náklady</c:v>
                </c:pt>
              </c:strCache>
            </c:strRef>
          </c:cat>
          <c:val>
            <c:numRef>
              <c:f>Tabuľky!$I$2:$M$2</c:f>
              <c:numCache>
                <c:formatCode>General</c:formatCode>
                <c:ptCount val="5"/>
                <c:pt idx="0">
                  <c:v>18000</c:v>
                </c:pt>
                <c:pt idx="1">
                  <c:v>22000</c:v>
                </c:pt>
                <c:pt idx="2">
                  <c:v>5000</c:v>
                </c:pt>
                <c:pt idx="3">
                  <c:v>3000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01-4771-8C20-652DFE189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9525</xdr:colOff>
      <xdr:row>26</xdr:row>
      <xdr:rowOff>19050</xdr:rowOff>
    </xdr:to>
    <xdr:graphicFrame macro="">
      <xdr:nvGraphicFramePr>
        <xdr:cNvPr id="3" name="Graf 4">
          <a:extLst>
            <a:ext uri="{FF2B5EF4-FFF2-40B4-BE49-F238E27FC236}">
              <a16:creationId xmlns:a16="http://schemas.microsoft.com/office/drawing/2014/main" id="{7C5F2D2F-A348-5A74-2AE5-586727C44279}"/>
            </a:ext>
            <a:ext uri="{147F2762-F138-4A5C-976F-8EAC2B608ADB}">
              <a16:predDERef xmlns:a16="http://schemas.microsoft.com/office/drawing/2014/main" pred="{FAE2BC25-3BEC-6C98-F257-321732115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219075</xdr:colOff>
      <xdr:row>0</xdr:row>
      <xdr:rowOff>9525</xdr:rowOff>
    </xdr:from>
    <xdr:to>
      <xdr:col>20</xdr:col>
      <xdr:colOff>523875</xdr:colOff>
      <xdr:row>14</xdr:row>
      <xdr:rowOff>85725</xdr:rowOff>
    </xdr:to>
    <xdr:graphicFrame macro="">
      <xdr:nvGraphicFramePr>
        <xdr:cNvPr id="4" name="Graf 5">
          <a:extLst>
            <a:ext uri="{FF2B5EF4-FFF2-40B4-BE49-F238E27FC236}">
              <a16:creationId xmlns:a16="http://schemas.microsoft.com/office/drawing/2014/main" id="{8699A206-BB50-32A2-A27E-A1A1D85D3C38}"/>
            </a:ext>
            <a:ext uri="{147F2762-F138-4A5C-976F-8EAC2B608ADB}">
              <a16:predDERef xmlns:a16="http://schemas.microsoft.com/office/drawing/2014/main" pred="{7C5F2D2F-A348-5A74-2AE5-586727C44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219075</xdr:colOff>
      <xdr:row>18</xdr:row>
      <xdr:rowOff>47625</xdr:rowOff>
    </xdr:from>
    <xdr:to>
      <xdr:col>26</xdr:col>
      <xdr:colOff>95250</xdr:colOff>
      <xdr:row>32</xdr:row>
      <xdr:rowOff>123825</xdr:rowOff>
    </xdr:to>
    <xdr:graphicFrame macro="">
      <xdr:nvGraphicFramePr>
        <xdr:cNvPr id="5" name="Graf 6">
          <a:extLst>
            <a:ext uri="{FF2B5EF4-FFF2-40B4-BE49-F238E27FC236}">
              <a16:creationId xmlns:a16="http://schemas.microsoft.com/office/drawing/2014/main" id="{F7E0936F-F5CD-527F-FFC8-7344F779148E}"/>
            </a:ext>
            <a:ext uri="{147F2762-F138-4A5C-976F-8EAC2B608ADB}">
              <a16:predDERef xmlns:a16="http://schemas.microsoft.com/office/drawing/2014/main" pred="{8699A206-BB50-32A2-A27E-A1A1D85D3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447675</xdr:colOff>
      <xdr:row>0</xdr:row>
      <xdr:rowOff>104775</xdr:rowOff>
    </xdr:from>
    <xdr:to>
      <xdr:col>32</xdr:col>
      <xdr:colOff>38100</xdr:colOff>
      <xdr:row>16</xdr:row>
      <xdr:rowOff>85725</xdr:rowOff>
    </xdr:to>
    <xdr:graphicFrame macro="">
      <xdr:nvGraphicFramePr>
        <xdr:cNvPr id="6" name="Graf 7">
          <a:extLst>
            <a:ext uri="{FF2B5EF4-FFF2-40B4-BE49-F238E27FC236}">
              <a16:creationId xmlns:a16="http://schemas.microsoft.com/office/drawing/2014/main" id="{E3D84BA6-D7A5-E76D-0AEC-A2DF5BCA7386}"/>
            </a:ext>
            <a:ext uri="{147F2762-F138-4A5C-976F-8EAC2B608ADB}">
              <a16:predDERef xmlns:a16="http://schemas.microsoft.com/office/drawing/2014/main" pred="{F7E0936F-F5CD-527F-FFC8-7344F7791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CB7D2-116C-42FE-9FD3-45D7725081E4}" name="Aktíva" displayName="Aktíva" ref="A1:G5" totalsRowShown="0">
  <autoFilter ref="A1:G5" xr:uid="{CF0CB7D2-116C-42FE-9FD3-45D7725081E4}"/>
  <tableColumns count="7">
    <tableColumn id="1" xr3:uid="{9344D96D-9967-4F93-8B78-1738705EEC9D}" name="účet"/>
    <tableColumn id="2" xr3:uid="{ED52B130-626C-4FED-A2CB-0ADE02010908}" name="Položka"/>
    <tableColumn id="3" xr3:uid="{EBF4B200-7686-496C-80E5-B8A93050F01F}" name="Suma (€)" dataDxfId="3"/>
    <tableColumn id="4" xr3:uid="{0BE6E2FC-1698-4187-A50D-FE628C1A95E8}" name="Poznámka"/>
    <tableColumn id="7" xr3:uid="{22EB143F-1E54-46AB-9741-4F2E2D00FB6D}" name="Účet2"/>
    <tableColumn id="8" xr3:uid="{395FE83D-961C-4980-86A2-2D35CA0D9D3C}" name="Položka2"/>
    <tableColumn id="9" xr3:uid="{6063BB74-FAA4-4E04-BD1D-E4FE194538E4}" name="Suma (€)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4F243-AAB6-4CEE-AC6F-B0C704487D7F}" name="Tabuľka2" displayName="Tabuľka2" ref="A8:G13" totalsRowShown="0" headerRowDxfId="1">
  <autoFilter ref="A8:G13" xr:uid="{0BF4F243-AAB6-4CEE-AC6F-B0C704487D7F}"/>
  <tableColumns count="7">
    <tableColumn id="1" xr3:uid="{198DBDFA-71BD-4FB4-965A-4FC0D98F52E8}" name="Účet"/>
    <tableColumn id="2" xr3:uid="{C35A3C37-4BD2-4955-BA1E-1005C633494B}" name="Položka"/>
    <tableColumn id="3" xr3:uid="{20974023-B44A-4461-8D7A-EFC155E673AA}" name="Suma (€)"/>
    <tableColumn id="5" xr3:uid="{399FAE72-6F83-4F41-8841-80F58C0BC5DA}" name="Účet2"/>
    <tableColumn id="6" xr3:uid="{CC2B1411-5893-4124-A423-49AEE748BF78}" name="Položka2"/>
    <tableColumn id="7" xr3:uid="{F3053274-9208-44B1-97DE-3950CC70D730}" name="Suma (€)2" dataDxfId="0"/>
    <tableColumn id="8" xr3:uid="{A9D6871E-50CE-4F7B-BF1E-39842175E181}" name="Pasíva spol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H17" sqref="H17"/>
    </sheetView>
  </sheetViews>
  <sheetFormatPr defaultRowHeight="15"/>
  <cols>
    <col min="1" max="1" width="9.5703125" bestFit="1" customWidth="1"/>
    <col min="2" max="2" width="28" bestFit="1" customWidth="1"/>
    <col min="3" max="3" width="9.5703125" bestFit="1" customWidth="1"/>
    <col min="4" max="4" width="21.28515625" bestFit="1" customWidth="1"/>
    <col min="5" max="5" width="9.5703125" bestFit="1" customWidth="1"/>
    <col min="6" max="6" width="25.5703125" bestFit="1" customWidth="1"/>
    <col min="7" max="7" width="23" bestFit="1" customWidth="1"/>
    <col min="8" max="8" width="24.85546875" bestFit="1" customWidth="1"/>
    <col min="9" max="9" width="9.5703125" bestFit="1" customWidth="1"/>
    <col min="10" max="10" width="10.7109375" bestFit="1" customWidth="1"/>
    <col min="11" max="11" width="13.7109375" bestFit="1" customWidth="1"/>
    <col min="13" max="13" width="27.140625" bestFit="1" customWidth="1"/>
    <col min="15" max="15" width="9.85546875" bestFit="1" customWidth="1"/>
    <col min="16" max="16" width="18.5703125" bestFit="1" customWidth="1"/>
    <col min="17" max="17" width="14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13</v>
      </c>
      <c r="B2" t="s">
        <v>12</v>
      </c>
      <c r="C2" s="2">
        <v>12000</v>
      </c>
      <c r="D2" t="s">
        <v>13</v>
      </c>
      <c r="E2">
        <v>221</v>
      </c>
      <c r="F2" t="s">
        <v>14</v>
      </c>
      <c r="G2" s="2">
        <v>14500</v>
      </c>
      <c r="I2">
        <v>18000</v>
      </c>
      <c r="J2">
        <v>22000</v>
      </c>
      <c r="K2">
        <v>5000</v>
      </c>
      <c r="L2">
        <v>3000</v>
      </c>
      <c r="M2">
        <v>2000</v>
      </c>
    </row>
    <row r="3" spans="1:13">
      <c r="A3">
        <v>22</v>
      </c>
      <c r="B3" t="s">
        <v>15</v>
      </c>
      <c r="C3" s="2">
        <v>8000</v>
      </c>
      <c r="D3" t="s">
        <v>16</v>
      </c>
      <c r="E3">
        <v>211</v>
      </c>
      <c r="F3" t="s">
        <v>17</v>
      </c>
      <c r="G3" s="2">
        <v>300</v>
      </c>
    </row>
    <row r="4" spans="1:13">
      <c r="A4">
        <v>41</v>
      </c>
      <c r="B4" t="s">
        <v>18</v>
      </c>
      <c r="C4" s="2">
        <v>3000</v>
      </c>
      <c r="D4" t="s">
        <v>19</v>
      </c>
      <c r="E4">
        <v>311</v>
      </c>
      <c r="F4" t="s">
        <v>20</v>
      </c>
      <c r="G4" s="2">
        <v>4200</v>
      </c>
    </row>
    <row r="5" spans="1:13">
      <c r="C5" s="2"/>
      <c r="E5">
        <v>132</v>
      </c>
      <c r="F5" t="s">
        <v>21</v>
      </c>
      <c r="G5" s="2">
        <v>1000</v>
      </c>
    </row>
    <row r="7" spans="1:13" ht="15.75">
      <c r="B7" s="3" t="s">
        <v>22</v>
      </c>
    </row>
    <row r="8" spans="1:13">
      <c r="A8" s="1" t="s">
        <v>23</v>
      </c>
      <c r="B8" s="1" t="s">
        <v>1</v>
      </c>
      <c r="C8" s="1" t="s">
        <v>2</v>
      </c>
      <c r="D8" s="1" t="s">
        <v>4</v>
      </c>
      <c r="E8" s="1" t="s">
        <v>5</v>
      </c>
      <c r="F8" s="1" t="s">
        <v>6</v>
      </c>
      <c r="G8" s="5" t="s">
        <v>24</v>
      </c>
      <c r="I8" s="6" t="s">
        <v>25</v>
      </c>
      <c r="J8" s="6" t="s">
        <v>26</v>
      </c>
    </row>
    <row r="9" spans="1:13">
      <c r="A9">
        <v>411</v>
      </c>
      <c r="B9" t="s">
        <v>27</v>
      </c>
      <c r="C9" s="2">
        <v>5000</v>
      </c>
      <c r="D9">
        <v>321</v>
      </c>
      <c r="E9" t="s">
        <v>28</v>
      </c>
      <c r="F9" s="2">
        <v>6500</v>
      </c>
      <c r="G9">
        <v>55000</v>
      </c>
      <c r="I9" s="10">
        <f>SUM(G2:G5)</f>
        <v>20000</v>
      </c>
      <c r="J9" s="7">
        <v>43000</v>
      </c>
    </row>
    <row r="10" spans="1:13">
      <c r="A10">
        <v>413</v>
      </c>
      <c r="B10" t="s">
        <v>29</v>
      </c>
      <c r="C10" s="2">
        <v>20000</v>
      </c>
      <c r="D10">
        <v>331</v>
      </c>
      <c r="E10" t="s">
        <v>30</v>
      </c>
      <c r="F10" s="2">
        <v>4000</v>
      </c>
      <c r="I10" s="8" t="s">
        <v>31</v>
      </c>
    </row>
    <row r="11" spans="1:13">
      <c r="A11">
        <v>431</v>
      </c>
      <c r="B11" t="s">
        <v>32</v>
      </c>
      <c r="C11" s="1" t="s">
        <v>33</v>
      </c>
      <c r="D11">
        <v>336</v>
      </c>
      <c r="E11" t="s">
        <v>34</v>
      </c>
      <c r="F11" s="2">
        <v>2500</v>
      </c>
      <c r="I11" s="9">
        <f>SUM(C2:C4)</f>
        <v>23000</v>
      </c>
    </row>
    <row r="12" spans="1:13">
      <c r="D12">
        <v>379</v>
      </c>
      <c r="E12" t="s">
        <v>35</v>
      </c>
      <c r="F12" s="2">
        <v>1000</v>
      </c>
    </row>
    <row r="13" spans="1:13">
      <c r="D13">
        <v>461</v>
      </c>
      <c r="E13" t="s">
        <v>36</v>
      </c>
      <c r="F13" s="2">
        <v>16000</v>
      </c>
    </row>
    <row r="15" spans="1:13">
      <c r="B15" s="4" t="s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7943-95FD-48C1-B0C5-CCEE7936DE74}">
  <dimension ref="A1"/>
  <sheetViews>
    <sheetView tabSelected="1" topLeftCell="M1" workbookViewId="0">
      <selection activeCell="AG6" sqref="AG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Maťo Elekanič</cp:lastModifiedBy>
  <cp:revision/>
  <dcterms:created xsi:type="dcterms:W3CDTF">2026-04-29T10:29:47Z</dcterms:created>
  <dcterms:modified xsi:type="dcterms:W3CDTF">2026-04-29T11:37:20Z</dcterms:modified>
  <cp:category/>
  <cp:contentStatus/>
</cp:coreProperties>
</file>