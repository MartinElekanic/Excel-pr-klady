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7256" windowHeight="5832" activeTab="1"/>
  </bookViews>
  <sheets>
    <sheet name="Hárok1" sheetId="1" r:id="rId1"/>
    <sheet name="Hárok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2" l="1"/>
  <c r="D9" i="2"/>
  <c r="B8" i="2"/>
  <c r="E14" i="1"/>
  <c r="B14" i="1"/>
  <c r="A9" i="1"/>
  <c r="C10" i="1"/>
  <c r="I4" i="2" l="1"/>
  <c r="I3" i="2"/>
  <c r="I2" i="2"/>
  <c r="G9" i="2"/>
</calcChain>
</file>

<file path=xl/sharedStrings.xml><?xml version="1.0" encoding="utf-8"?>
<sst xmlns="http://schemas.openxmlformats.org/spreadsheetml/2006/main" count="51" uniqueCount="42">
  <si>
    <t>Scenár</t>
  </si>
  <si>
    <t>Investícia (CF0)</t>
  </si>
  <si>
    <t>Limit pmt</t>
  </si>
  <si>
    <t>Diskontná sadzba</t>
  </si>
  <si>
    <t>Ročné cash‑flow</t>
  </si>
  <si>
    <t>Dátumy cash‑flow</t>
  </si>
  <si>
    <t>Trvanie</t>
  </si>
  <si>
    <t>PMT</t>
  </si>
  <si>
    <t>4 roky</t>
  </si>
  <si>
    <t>5 rokov</t>
  </si>
  <si>
    <t>vnútorná miera návratnosti</t>
  </si>
  <si>
    <t>výsledok choose</t>
  </si>
  <si>
    <t>index efektivity</t>
  </si>
  <si>
    <t>Výsledo XIRR</t>
  </si>
  <si>
    <t>xnpv/pmt</t>
  </si>
  <si>
    <t>XIRR=veľmi blízko požadovanej sadzby</t>
  </si>
  <si>
    <t>XNPV=pozitívna, zisk projektu</t>
  </si>
  <si>
    <t>Index efektivity=30 násobná návratnosť  investície voči limitnej pmt</t>
  </si>
  <si>
    <t>Typ</t>
  </si>
  <si>
    <t>Počiatočná investícia (CF₀)</t>
  </si>
  <si>
    <t>Sadzba</t>
  </si>
  <si>
    <t>Mesačné cash‑flow (€)</t>
  </si>
  <si>
    <t>Dátumy</t>
  </si>
  <si>
    <t>Typ projektu</t>
  </si>
  <si>
    <t>Odporúčaný PMT (€)</t>
  </si>
  <si>
    <t>Index efektivity (≈ XNPV/PMT)</t>
  </si>
  <si>
    <t>Interpretácia</t>
  </si>
  <si>
    <t>Záverečné zhodnotenie</t>
  </si>
  <si>
    <t>Optimistický</t>
  </si>
  <si>
    <t>−80 000</t>
  </si>
  <si>
    <t>veľmi efektívny</t>
  </si>
  <si>
    <t>Choose vybral správnu hodnotu vzhľadom na zhodu s 1.indexom efektivity</t>
  </si>
  <si>
    <t>Realistický</t>
  </si>
  <si>
    <t>dobrá efektívnosť</t>
  </si>
  <si>
    <t>ostatné indexy sú stabilne ziskové</t>
  </si>
  <si>
    <t>Pesimistický</t>
  </si>
  <si>
    <t>prijateľná efektívnosť</t>
  </si>
  <si>
    <t>výsledky čistej súčasnej hodnoty hotovostných tokov a vnútornej miery návratnosti sú značne a pomerne rýchlo ziskové</t>
  </si>
  <si>
    <t>Výsledok choose</t>
  </si>
  <si>
    <t>Výsledok xnpv</t>
  </si>
  <si>
    <t>XIRR</t>
  </si>
  <si>
    <t xml:space="preserve">Index efektivity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</si>
</sst>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NumberFormat="1"/>
    <xf numFmtId="1" fontId="0" fillId="0" borderId="0" xfId="0" applyNumberFormat="1"/>
    <xf numFmtId="9" fontId="0" fillId="0" borderId="0" xfId="0" applyNumberFormat="1"/>
    <xf numFmtId="14" fontId="0" fillId="0" borderId="0" xfId="0" applyNumberFormat="1"/>
    <xf numFmtId="1" fontId="0" fillId="0" borderId="0" xfId="0" applyNumberFormat="1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>
      <alignment wrapText="1"/>
    </xf>
    <xf numFmtId="10" fontId="0" fillId="0" borderId="0" xfId="0" applyNumberFormat="1"/>
    <xf numFmtId="0" fontId="3" fillId="0" borderId="0" xfId="0" applyFont="1"/>
    <xf numFmtId="0" fontId="3" fillId="0" borderId="0" xfId="0" applyFont="1" applyAlignment="1">
      <alignment wrapText="1"/>
    </xf>
    <xf numFmtId="49" fontId="0" fillId="0" borderId="0" xfId="0" applyNumberFormat="1"/>
    <xf numFmtId="49" fontId="3" fillId="0" borderId="0" xfId="0" applyNumberFormat="1" applyFont="1" applyAlignment="1">
      <alignment wrapText="1"/>
    </xf>
    <xf numFmtId="49" fontId="3" fillId="0" borderId="0" xfId="0" applyNumberFormat="1" applyFont="1"/>
    <xf numFmtId="0" fontId="4" fillId="2" borderId="1" xfId="0" applyFont="1" applyFill="1" applyBorder="1"/>
    <xf numFmtId="2" fontId="0" fillId="3" borderId="1" xfId="0" applyNumberFormat="1" applyFont="1" applyFill="1" applyBorder="1"/>
    <xf numFmtId="0" fontId="0" fillId="3" borderId="1" xfId="0" applyFont="1" applyFill="1" applyBorder="1"/>
    <xf numFmtId="0" fontId="0" fillId="0" borderId="1" xfId="0" applyFont="1" applyBorder="1"/>
    <xf numFmtId="2" fontId="0" fillId="0" borderId="1" xfId="0" applyNumberFormat="1" applyFont="1" applyBorder="1"/>
  </cellXfs>
  <cellStyles count="1">
    <cellStyle name="Normálne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Porovnanie</a:t>
            </a:r>
            <a:r>
              <a:rPr lang="sk-SK" baseline="0"/>
              <a:t> vybraných ukazovateľov autoservisu</a:t>
            </a:r>
          </a:p>
          <a:p>
            <a:pPr>
              <a:defRPr/>
            </a:pPr>
            <a:endParaRPr lang="sk-SK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Počiatočná investícia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Hárok2!$D$17:$F$17</c:f>
              <c:strCache>
                <c:ptCount val="3"/>
                <c:pt idx="0">
                  <c:v>Počiatočná investícia (CF₀)</c:v>
                </c:pt>
                <c:pt idx="1">
                  <c:v>Mesačné cash‑flow (€)</c:v>
                </c:pt>
                <c:pt idx="2">
                  <c:v>Index efektivity (≈ XNPV/PMT)</c:v>
                </c:pt>
              </c:strCache>
            </c:strRef>
          </c:cat>
          <c:val>
            <c:numRef>
              <c:f>Hárok2!$D$18:$F$18</c:f>
              <c:numCache>
                <c:formatCode>0.00</c:formatCode>
                <c:ptCount val="3"/>
                <c:pt idx="0">
                  <c:v>0</c:v>
                </c:pt>
                <c:pt idx="1">
                  <c:v>-8000</c:v>
                </c:pt>
                <c:pt idx="2" formatCode="General">
                  <c:v>12.192522540000001</c:v>
                </c:pt>
              </c:numCache>
            </c:numRef>
          </c:val>
        </c:ser>
        <c:ser>
          <c:idx val="1"/>
          <c:order val="1"/>
          <c:tx>
            <c:v>Mesačný cash-flow(€)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Hárok2!$D$17:$F$17</c:f>
              <c:strCache>
                <c:ptCount val="3"/>
                <c:pt idx="0">
                  <c:v>Počiatočná investícia (CF₀)</c:v>
                </c:pt>
                <c:pt idx="1">
                  <c:v>Mesačné cash‑flow (€)</c:v>
                </c:pt>
                <c:pt idx="2">
                  <c:v>Index efektivity (≈ XNPV/PMT)</c:v>
                </c:pt>
              </c:strCache>
            </c:strRef>
          </c:cat>
          <c:val>
            <c:numRef>
              <c:f>Hárok2!$D$19:$F$19</c:f>
              <c:numCache>
                <c:formatCode>0.00</c:formatCode>
                <c:ptCount val="3"/>
                <c:pt idx="0" formatCode="General">
                  <c:v>-83000</c:v>
                </c:pt>
                <c:pt idx="1">
                  <c:v>6500</c:v>
                </c:pt>
                <c:pt idx="2" formatCode="General">
                  <c:v>8.9411831979999992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69615296"/>
        <c:axId val="-1569615840"/>
      </c:barChart>
      <c:lineChart>
        <c:grouping val="standard"/>
        <c:varyColors val="0"/>
        <c:ser>
          <c:idx val="2"/>
          <c:order val="2"/>
          <c:tx>
            <c:v>Index efektivity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Hárok2!$D$17:$F$17</c:f>
              <c:strCache>
                <c:ptCount val="3"/>
                <c:pt idx="0">
                  <c:v>Počiatočná investícia (CF₀)</c:v>
                </c:pt>
                <c:pt idx="1">
                  <c:v>Mesačné cash‑flow (€)</c:v>
                </c:pt>
                <c:pt idx="2">
                  <c:v>Index efektivity (≈ XNPV/PMT)</c:v>
                </c:pt>
              </c:strCache>
            </c:strRef>
          </c:cat>
          <c:val>
            <c:numRef>
              <c:f>Hárok2!$D$20:$F$20</c:f>
              <c:numCache>
                <c:formatCode>0.00</c:formatCode>
                <c:ptCount val="3"/>
                <c:pt idx="0" formatCode="General">
                  <c:v>-72000</c:v>
                </c:pt>
                <c:pt idx="1">
                  <c:v>5000</c:v>
                </c:pt>
                <c:pt idx="2" formatCode="General">
                  <c:v>6.0962612710000004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69615296"/>
        <c:axId val="-1569615840"/>
      </c:lineChart>
      <c:catAx>
        <c:axId val="-156961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-1569615840"/>
        <c:crosses val="autoZero"/>
        <c:auto val="1"/>
        <c:lblAlgn val="ctr"/>
        <c:lblOffset val="100"/>
        <c:noMultiLvlLbl val="0"/>
      </c:catAx>
      <c:valAx>
        <c:axId val="-156961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-156961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502920</xdr:colOff>
      <xdr:row>11</xdr:row>
      <xdr:rowOff>152400</xdr:rowOff>
    </xdr:from>
    <xdr:to>
      <xdr:col>9</xdr:col>
      <xdr:colOff>1226820</xdr:colOff>
      <xdr:row>29</xdr:row>
      <xdr:rowOff>129540</xdr:rowOff>
    </xdr:to>
    <xdr:graphicFrame macro="">
      <xdr:nvGraphicFramePr>
        <xdr:cNvPr id="2" name="Graf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uľka1" displayName="Tabuľka1" ref="A1:K9" totalsRowShown="0" headerRowDxfId="0">
  <autoFilter ref="A1:K9"/>
  <tableColumns count="11">
    <tableColumn id="1" name="Scenár"/>
    <tableColumn id="2" name="Typ"/>
    <tableColumn id="3" name="Počiatočná investícia (CF₀)"/>
    <tableColumn id="4" name="Sadzba"/>
    <tableColumn id="5" name="Mesačné cash‑flow (€)"/>
    <tableColumn id="6" name="Dátumy"/>
    <tableColumn id="9" name="Typ projektu"/>
    <tableColumn id="10" name="Odporúčaný PMT (€)"/>
    <tableColumn id="11" name="Index efektivity (≈ XNPV/PMT)"/>
    <tableColumn id="12" name="Interpretácia"/>
    <tableColumn id="14" name="Záverečné zhodnoteni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A19" sqref="A19"/>
    </sheetView>
  </sheetViews>
  <sheetFormatPr defaultRowHeight="14.4" x14ac:dyDescent="0.3"/>
  <cols>
    <col min="1" max="2" width="36.5546875" bestFit="1" customWidth="1"/>
    <col min="3" max="3" width="15.5546875" bestFit="1" customWidth="1"/>
    <col min="5" max="5" width="16.44140625" bestFit="1" customWidth="1"/>
    <col min="6" max="6" width="20.5546875" bestFit="1" customWidth="1"/>
    <col min="7" max="7" width="16" bestFit="1" customWidth="1"/>
    <col min="8" max="8" width="20.5546875" bestFit="1" customWidth="1"/>
    <col min="9" max="9" width="25" bestFit="1" customWidth="1"/>
    <col min="12" max="12" width="24.6640625" bestFit="1" customWidth="1"/>
  </cols>
  <sheetData>
    <row r="1" spans="1:12" ht="18" x14ac:dyDescent="0.35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7</v>
      </c>
    </row>
    <row r="2" spans="1:12" x14ac:dyDescent="0.3">
      <c r="A2">
        <v>1</v>
      </c>
      <c r="B2" s="5">
        <v>-80000</v>
      </c>
      <c r="D2">
        <v>2500</v>
      </c>
      <c r="E2" s="6">
        <v>0.1</v>
      </c>
      <c r="F2" s="5">
        <v>-25000</v>
      </c>
      <c r="G2" s="7">
        <v>46023</v>
      </c>
      <c r="H2" t="s">
        <v>8</v>
      </c>
      <c r="I2" s="5">
        <v>2400</v>
      </c>
    </row>
    <row r="3" spans="1:12" x14ac:dyDescent="0.3">
      <c r="A3">
        <v>2</v>
      </c>
      <c r="B3" s="5">
        <v>-100000</v>
      </c>
      <c r="F3" s="5">
        <v>32000</v>
      </c>
      <c r="G3" s="7">
        <v>46388</v>
      </c>
      <c r="H3" t="s">
        <v>8</v>
      </c>
      <c r="I3" s="5">
        <v>2900</v>
      </c>
    </row>
    <row r="4" spans="1:12" x14ac:dyDescent="0.3">
      <c r="A4">
        <v>3</v>
      </c>
      <c r="B4" s="5">
        <v>-70000</v>
      </c>
      <c r="F4" s="5">
        <v>20000</v>
      </c>
      <c r="G4" s="7">
        <v>46753</v>
      </c>
      <c r="H4" t="s">
        <v>9</v>
      </c>
      <c r="I4" s="5">
        <v>2100</v>
      </c>
    </row>
    <row r="5" spans="1:12" x14ac:dyDescent="0.3">
      <c r="F5" s="5">
        <v>27000</v>
      </c>
      <c r="G5" s="7">
        <v>47119</v>
      </c>
      <c r="I5" s="8"/>
    </row>
    <row r="6" spans="1:12" x14ac:dyDescent="0.3">
      <c r="F6" s="5">
        <v>30000</v>
      </c>
      <c r="G6" s="7">
        <v>47484</v>
      </c>
      <c r="I6" s="8"/>
    </row>
    <row r="7" spans="1:12" x14ac:dyDescent="0.3">
      <c r="F7" s="5">
        <v>22000</v>
      </c>
      <c r="G7" s="7">
        <v>47849</v>
      </c>
      <c r="I7" s="8"/>
    </row>
    <row r="8" spans="1:12" x14ac:dyDescent="0.3">
      <c r="A8" s="1" t="s">
        <v>10</v>
      </c>
    </row>
    <row r="9" spans="1:12" x14ac:dyDescent="0.3">
      <c r="A9" s="10">
        <f>XNPV(E2,F2:F7,G2:G7)</f>
        <v>75041.794379941261</v>
      </c>
      <c r="C9" t="s">
        <v>11</v>
      </c>
    </row>
    <row r="10" spans="1:12" x14ac:dyDescent="0.3">
      <c r="B10" s="3"/>
      <c r="C10">
        <f>CHOOSE(3,B4,B3,B2)</f>
        <v>-80000</v>
      </c>
      <c r="L10" s="10"/>
    </row>
    <row r="12" spans="1:12" x14ac:dyDescent="0.3">
      <c r="A12" s="11"/>
      <c r="E12" s="1" t="s">
        <v>12</v>
      </c>
    </row>
    <row r="13" spans="1:12" x14ac:dyDescent="0.3">
      <c r="A13" s="3"/>
      <c r="B13" s="1" t="s">
        <v>13</v>
      </c>
      <c r="E13" t="s">
        <v>14</v>
      </c>
    </row>
    <row r="14" spans="1:12" x14ac:dyDescent="0.3">
      <c r="A14" s="3"/>
      <c r="B14" s="4">
        <f>XIRR(F2:F7,G2:G7)</f>
        <v>1.0880736470222472</v>
      </c>
      <c r="E14">
        <f>A9/D2</f>
        <v>30.016717751976504</v>
      </c>
    </row>
    <row r="15" spans="1:12" x14ac:dyDescent="0.3">
      <c r="A15" s="3"/>
    </row>
    <row r="16" spans="1:12" x14ac:dyDescent="0.3">
      <c r="A16" s="13" t="s">
        <v>15</v>
      </c>
      <c r="B16" s="12">
        <v>8.7999999999999995E-2</v>
      </c>
    </row>
    <row r="17" spans="1:1" x14ac:dyDescent="0.3">
      <c r="A17" s="13" t="s">
        <v>16</v>
      </c>
    </row>
    <row r="18" spans="1:1" ht="28.8" x14ac:dyDescent="0.3">
      <c r="A18" s="14" t="s">
        <v>17</v>
      </c>
    </row>
    <row r="19" spans="1:1" x14ac:dyDescent="0.3">
      <c r="A19" s="13"/>
    </row>
    <row r="20" spans="1:1" x14ac:dyDescent="0.3">
      <c r="A20" s="1"/>
    </row>
    <row r="21" spans="1:1" x14ac:dyDescent="0.3">
      <c r="A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topLeftCell="C9" workbookViewId="0">
      <selection activeCell="I11" sqref="I11"/>
    </sheetView>
  </sheetViews>
  <sheetFormatPr defaultRowHeight="14.4" x14ac:dyDescent="0.3"/>
  <cols>
    <col min="2" max="2" width="36.5546875" bestFit="1" customWidth="1"/>
    <col min="3" max="3" width="26.44140625" bestFit="1" customWidth="1"/>
    <col min="4" max="4" width="21" bestFit="1" customWidth="1"/>
    <col min="5" max="5" width="23.33203125" bestFit="1" customWidth="1"/>
    <col min="6" max="6" width="20.21875" bestFit="1" customWidth="1"/>
    <col min="7" max="7" width="26" bestFit="1" customWidth="1"/>
    <col min="8" max="8" width="23.5546875" bestFit="1" customWidth="1"/>
    <col min="9" max="9" width="24.5546875" bestFit="1" customWidth="1"/>
    <col min="10" max="10" width="21.44140625" bestFit="1" customWidth="1"/>
    <col min="11" max="11" width="30.109375" bestFit="1" customWidth="1"/>
    <col min="12" max="12" width="19.33203125" bestFit="1" customWidth="1"/>
    <col min="13" max="13" width="9.5546875" bestFit="1" customWidth="1"/>
  </cols>
  <sheetData>
    <row r="1" spans="1:11" x14ac:dyDescent="0.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</row>
    <row r="2" spans="1:11" ht="43.2" x14ac:dyDescent="0.3">
      <c r="A2" s="4">
        <v>1</v>
      </c>
      <c r="B2" t="s">
        <v>28</v>
      </c>
      <c r="C2" s="9" t="s">
        <v>29</v>
      </c>
      <c r="D2" s="12">
        <v>8.9999999999999993E-3</v>
      </c>
      <c r="E2" s="9">
        <v>-8000</v>
      </c>
      <c r="F2" s="7">
        <v>44988</v>
      </c>
      <c r="G2" t="s">
        <v>28</v>
      </c>
      <c r="H2" s="9">
        <v>275</v>
      </c>
      <c r="I2">
        <f>D9/Hárok2!H2</f>
        <v>12.192522542625772</v>
      </c>
      <c r="J2" s="15" t="s">
        <v>30</v>
      </c>
      <c r="K2" s="16" t="s">
        <v>31</v>
      </c>
    </row>
    <row r="3" spans="1:11" x14ac:dyDescent="0.3">
      <c r="A3" s="4">
        <v>2</v>
      </c>
      <c r="B3" t="s">
        <v>32</v>
      </c>
      <c r="C3">
        <v>-83000</v>
      </c>
      <c r="E3" s="9">
        <v>6500</v>
      </c>
      <c r="F3" s="7">
        <v>45354</v>
      </c>
      <c r="G3" t="s">
        <v>32</v>
      </c>
      <c r="H3" s="9">
        <v>375</v>
      </c>
      <c r="I3">
        <f>D9/H3</f>
        <v>8.9411831979255663</v>
      </c>
      <c r="J3" s="15" t="s">
        <v>33</v>
      </c>
      <c r="K3" s="17" t="s">
        <v>34</v>
      </c>
    </row>
    <row r="4" spans="1:11" ht="57.6" x14ac:dyDescent="0.3">
      <c r="A4" s="4">
        <v>3</v>
      </c>
      <c r="B4" t="s">
        <v>35</v>
      </c>
      <c r="C4">
        <v>-72000</v>
      </c>
      <c r="E4" s="9">
        <v>5000</v>
      </c>
      <c r="F4" s="7">
        <v>45719</v>
      </c>
      <c r="G4" t="s">
        <v>35</v>
      </c>
      <c r="H4" s="9">
        <v>550</v>
      </c>
      <c r="I4">
        <f>D9/H4</f>
        <v>6.0962612713128861</v>
      </c>
      <c r="J4" s="15" t="s">
        <v>36</v>
      </c>
      <c r="K4" s="16" t="s">
        <v>37</v>
      </c>
    </row>
    <row r="5" spans="1:11" x14ac:dyDescent="0.3">
      <c r="E5" s="9"/>
    </row>
    <row r="7" spans="1:11" x14ac:dyDescent="0.3">
      <c r="B7" s="1" t="s">
        <v>38</v>
      </c>
    </row>
    <row r="8" spans="1:11" x14ac:dyDescent="0.3">
      <c r="B8" s="9" t="str">
        <f>CHOOSE(2,C3,C2,C4)</f>
        <v>−80 000</v>
      </c>
      <c r="D8" s="1" t="s">
        <v>39</v>
      </c>
      <c r="E8" s="1" t="s">
        <v>40</v>
      </c>
      <c r="G8" s="1" t="s">
        <v>41</v>
      </c>
    </row>
    <row r="9" spans="1:11" x14ac:dyDescent="0.3">
      <c r="D9" s="10">
        <f>XNPV(D2,E2:E4,F2:F4)</f>
        <v>3352.9436992220872</v>
      </c>
      <c r="E9" s="12">
        <f>XIRR(E2:E4,F2:F4)</f>
        <v>0.2944245278835298</v>
      </c>
      <c r="G9" s="9">
        <f>D9/H4</f>
        <v>6.0962612713128861</v>
      </c>
    </row>
    <row r="12" spans="1:11" x14ac:dyDescent="0.3">
      <c r="G12" s="1"/>
      <c r="H12" s="1"/>
      <c r="I12" s="1"/>
    </row>
    <row r="13" spans="1:11" x14ac:dyDescent="0.3">
      <c r="B13" s="16"/>
    </row>
    <row r="14" spans="1:11" x14ac:dyDescent="0.3">
      <c r="B14" s="17"/>
    </row>
    <row r="15" spans="1:11" x14ac:dyDescent="0.3">
      <c r="B15" s="16"/>
    </row>
    <row r="17" spans="4:6" x14ac:dyDescent="0.3">
      <c r="D17" s="18" t="s">
        <v>19</v>
      </c>
      <c r="E17" s="18" t="s">
        <v>21</v>
      </c>
      <c r="F17" s="18" t="s">
        <v>25</v>
      </c>
    </row>
    <row r="18" spans="4:6" x14ac:dyDescent="0.3">
      <c r="D18" s="19" t="s">
        <v>29</v>
      </c>
      <c r="E18" s="19">
        <v>-8000</v>
      </c>
      <c r="F18" s="20">
        <v>12.192522540000001</v>
      </c>
    </row>
    <row r="19" spans="4:6" x14ac:dyDescent="0.3">
      <c r="D19" s="21">
        <v>-83000</v>
      </c>
      <c r="E19" s="22">
        <v>6500</v>
      </c>
      <c r="F19" s="21">
        <v>8.9411831979999992</v>
      </c>
    </row>
    <row r="20" spans="4:6" x14ac:dyDescent="0.3">
      <c r="D20" s="20">
        <v>-72000</v>
      </c>
      <c r="E20" s="19">
        <v>5000</v>
      </c>
      <c r="F20" s="20">
        <v>6.0962612710000004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Hárok1</vt:lpstr>
      <vt:lpstr>Hárok2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/>
  <dcterms:created xsi:type="dcterms:W3CDTF">2026-04-29T07:18:30Z</dcterms:created>
  <dcterms:modified xsi:type="dcterms:W3CDTF">2026-04-29T11:34:06Z</dcterms:modified>
  <cp:category/>
  <cp:contentStatus/>
</cp:coreProperties>
</file>